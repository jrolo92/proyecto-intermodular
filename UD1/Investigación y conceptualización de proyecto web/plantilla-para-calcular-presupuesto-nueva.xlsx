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<sst xmlns="http://schemas.openxmlformats.org/spreadsheetml/2006/main" count="46" uniqueCount="35">
  <si>
    <t xml:space="preserve">Rellena los campos de color naranja</t>
  </si>
  <si>
    <t xml:space="preserve">Tarea</t>
  </si>
  <si>
    <t xml:space="preserve">Duración (en horas)</t>
  </si>
  <si>
    <t xml:space="preserve">Suplemento imprevistos (25%)</t>
  </si>
  <si>
    <t xml:space="preserve">Tarifa € (sin impuestos)</t>
  </si>
  <si>
    <t xml:space="preserve">TOTAL</t>
  </si>
  <si>
    <t xml:space="preserve">Componentes</t>
  </si>
  <si>
    <t xml:space="preserve">Licencia</t>
  </si>
  <si>
    <t xml:space="preserve">Coste licencia anual € (sin impuestos)</t>
  </si>
  <si>
    <t xml:space="preserve">Coste final licencia</t>
  </si>
  <si>
    <t xml:space="preserve">Instalación y configuración de la tienda</t>
  </si>
  <si>
    <t xml:space="preserve">Plugins</t>
  </si>
  <si>
    <t xml:space="preserve">Lifetime</t>
  </si>
  <si>
    <t xml:space="preserve">Diseño</t>
  </si>
  <si>
    <t xml:space="preserve">Anual</t>
  </si>
  <si>
    <t xml:space="preserve">Tema</t>
  </si>
  <si>
    <t xml:space="preserve">Hosting</t>
  </si>
  <si>
    <t xml:space="preserve">-</t>
  </si>
  <si>
    <t xml:space="preserve">Otros servicios</t>
  </si>
  <si>
    <t xml:space="preserve">PRESUPUESTO</t>
  </si>
  <si>
    <t xml:space="preserve">SERVICIO ECOMMERCE</t>
  </si>
  <si>
    <t xml:space="preserve">CLIENTE</t>
  </si>
  <si>
    <t xml:space="preserve">Empresa Cliente S.L</t>
  </si>
  <si>
    <t xml:space="preserve">FECHA:      07/07/2016</t>
  </si>
  <si>
    <t xml:space="preserve">Avda, Barcelona 30, Bajo A</t>
  </si>
  <si>
    <t xml:space="preserve">18006 Granada</t>
  </si>
  <si>
    <t xml:space="preserve">ESPAÑA</t>
  </si>
  <si>
    <t xml:space="preserve">contacto@dominiocliente.com</t>
  </si>
  <si>
    <t xml:space="preserve">699999999 / 958888888</t>
  </si>
  <si>
    <t xml:space="preserve">DESCRIPCIÓN</t>
  </si>
  <si>
    <t xml:space="preserve">COSTE</t>
  </si>
  <si>
    <t xml:space="preserve">Implantación de solución ecommerce</t>
  </si>
  <si>
    <t xml:space="preserve">NOTAS</t>
  </si>
  <si>
    <t xml:space="preserve">SUBTOTAL</t>
  </si>
  <si>
    <t xml:space="preserve">IMPUESTO [21% IVA]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</si>
</sst>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-1]"/>
    <numFmt numFmtId="166" formatCode="#,##0.00&quot; €&quot;"/>
    <numFmt numFmtId="167" formatCode="0"/>
  </numFmts>
  <fonts count="2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4"/>
      <color rgb="FF45818E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B5394"/>
      <name val="Arial"/>
      <family val="0"/>
      <charset val="1"/>
    </font>
    <font>
      <sz val="12"/>
      <color rgb="FFFFFFFF"/>
      <name val="Arial"/>
      <family val="0"/>
      <charset val="1"/>
    </font>
    <font>
      <sz val="12"/>
      <color rgb="FF0B5394"/>
      <name val="Arial"/>
      <family val="0"/>
      <charset val="1"/>
    </font>
    <font>
      <b val="true"/>
      <sz val="10"/>
      <color rgb="FFCFE2F3"/>
      <name val="Trebuchet MS"/>
      <family val="0"/>
      <charset val="1"/>
    </font>
    <font>
      <b val="true"/>
      <sz val="9"/>
      <color rgb="FF434343"/>
      <name val="Arial"/>
      <family val="0"/>
      <charset val="1"/>
    </font>
    <font>
      <b val="true"/>
      <sz val="8"/>
      <color rgb="FF434343"/>
      <name val="Arial"/>
      <family val="0"/>
      <charset val="1"/>
    </font>
    <font>
      <sz val="10"/>
      <color rgb="FF666666"/>
      <name val="Trebuchet MS"/>
      <family val="0"/>
      <charset val="1"/>
    </font>
    <font>
      <b val="true"/>
      <sz val="9"/>
      <color rgb="FF434343"/>
      <name val="Trebuchet MS"/>
      <family val="0"/>
      <charset val="1"/>
    </font>
    <font>
      <sz val="10"/>
      <color rgb="FF434343"/>
      <name val="Arial"/>
      <family val="0"/>
      <charset val="1"/>
    </font>
    <font>
      <sz val="9"/>
      <color rgb="FF434343"/>
      <name val="Trebuchet MS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Cambria"/>
      <family val="0"/>
      <charset val="1"/>
    </font>
    <font>
      <sz val="10"/>
      <color rgb="FF0B5394"/>
      <name val="Trebuchet MS"/>
      <family val="0"/>
      <charset val="1"/>
    </font>
    <font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FFFFFF"/>
      <name val="Cambria"/>
      <family val="0"/>
      <charset val="1"/>
    </font>
    <font>
      <sz val="9"/>
      <color rgb="FFFFFFFF"/>
      <name val="Arial"/>
      <family val="0"/>
      <charset val="1"/>
    </font>
    <font>
      <sz val="9"/>
      <color rgb="FF990000"/>
      <name val="Trebuchet MS"/>
      <family val="0"/>
      <charset val="1"/>
    </font>
    <font>
      <b val="true"/>
      <sz val="12"/>
      <color rgb="FFFFFFFF"/>
      <name val="Cambria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9DAF8"/>
        <bgColor rgb="FFCFE2F3"/>
      </patternFill>
    </fill>
    <fill>
      <patternFill patternType="solid">
        <fgColor rgb="FF6FA8DC"/>
        <bgColor rgb="FFA2C4C9"/>
      </patternFill>
    </fill>
    <fill>
      <patternFill patternType="solid">
        <fgColor rgb="FF3D85C6"/>
        <bgColor rgb="FF3C78D8"/>
      </patternFill>
    </fill>
    <fill>
      <patternFill patternType="solid">
        <fgColor rgb="FFF6B26B"/>
        <bgColor rgb="FFFF99CC"/>
      </patternFill>
    </fill>
    <fill>
      <patternFill patternType="solid">
        <fgColor rgb="FFEFEFEF"/>
        <bgColor rgb="FFF3F3F3"/>
      </patternFill>
    </fill>
    <fill>
      <patternFill patternType="solid">
        <fgColor rgb="FF286EE6"/>
        <bgColor rgb="FF3C78D8"/>
      </patternFill>
    </fill>
    <fill>
      <patternFill patternType="solid">
        <fgColor rgb="FFF3F3F3"/>
        <bgColor rgb="FFEFEFEF"/>
      </patternFill>
    </fill>
    <fill>
      <patternFill patternType="solid">
        <fgColor rgb="FF1C4587"/>
        <bgColor rgb="FF0B5394"/>
      </patternFill>
    </fill>
    <fill>
      <patternFill patternType="solid">
        <fgColor rgb="FF3C78D8"/>
        <bgColor rgb="FF3D85C6"/>
      </patternFill>
    </fill>
    <fill>
      <patternFill patternType="solid">
        <fgColor rgb="FFA4C2F4"/>
        <bgColor rgb="FFA2C4C9"/>
      </patternFill>
    </fill>
    <fill>
      <patternFill patternType="solid">
        <fgColor rgb="FF45818E"/>
        <bgColor rgb="FF3D85C6"/>
      </patternFill>
    </fill>
    <fill>
      <patternFill patternType="solid">
        <fgColor rgb="FFA2C4C9"/>
        <bgColor rgb="FFA4C2F4"/>
      </patternFill>
    </fill>
    <fill>
      <patternFill patternType="solid">
        <fgColor rgb="FF6AA84F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6" fillId="1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3D85C6"/>
      <rgbColor rgb="FFCCCCCC"/>
      <rgbColor rgb="FF808080"/>
      <rgbColor rgb="FF6FA8DC"/>
      <rgbColor rgb="FF993366"/>
      <rgbColor rgb="FFF3F3F3"/>
      <rgbColor rgb="FFCFE2F3"/>
      <rgbColor rgb="FF660066"/>
      <rgbColor rgb="FFFF8080"/>
      <rgbColor rgb="FF0B5394"/>
      <rgbColor rgb="FFC9DAF8"/>
      <rgbColor rgb="FF000080"/>
      <rgbColor rgb="FFFF00FF"/>
      <rgbColor rgb="FFFFFF00"/>
      <rgbColor rgb="FF00FFFF"/>
      <rgbColor rgb="FF800080"/>
      <rgbColor rgb="FF800000"/>
      <rgbColor rgb="FF3C78D8"/>
      <rgbColor rgb="FF0000FF"/>
      <rgbColor rgb="FF00CCFF"/>
      <rgbColor rgb="FFEFEFEF"/>
      <rgbColor rgb="FFCCFFCC"/>
      <rgbColor rgb="FFFFFF99"/>
      <rgbColor rgb="FFA4C2F4"/>
      <rgbColor rgb="FFFF99CC"/>
      <rgbColor rgb="FFA2C4C9"/>
      <rgbColor rgb="FFF6B26B"/>
      <rgbColor rgb="FF286EE6"/>
      <rgbColor rgb="FF33CCCC"/>
      <rgbColor rgb="FF99CC00"/>
      <rgbColor rgb="FFFFCC00"/>
      <rgbColor rgb="FFFF9900"/>
      <rgbColor rgb="FFFF6600"/>
      <rgbColor rgb="FF666666"/>
      <rgbColor rgb="FF6AA84F"/>
      <rgbColor rgb="FF003366"/>
      <rgbColor rgb="FF45818E"/>
      <rgbColor rgb="FF003300"/>
      <rgbColor rgb="FF333300"/>
      <rgbColor rgb="FF993300"/>
      <rgbColor rgb="FF993366"/>
      <rgbColor rgb="FF1C4587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2890625" defaultRowHeight="15" customHeight="true" zeroHeight="false" outlineLevelRow="0" outlineLevelCol="0"/>
  <cols>
    <col collapsed="false" customWidth="true" hidden="false" outlineLevel="0" max="1" min="1" style="0" width="12.57"/>
    <col collapsed="false" customWidth="true" hidden="false" outlineLevel="0" max="6" min="3" style="0" width="13.43"/>
    <col collapsed="false" customWidth="true" hidden="false" outlineLevel="0" max="7" min="7" style="0" width="11.29"/>
    <col collapsed="false" customWidth="true" hidden="false" outlineLevel="0" max="8" min="8" style="0" width="14.71"/>
    <col collapsed="false" customWidth="true" hidden="false" outlineLevel="0" max="21" min="9" style="0" width="13.43"/>
    <col collapsed="false" customWidth="true" hidden="false" outlineLevel="0" max="26" min="22" style="0" width="14.43"/>
  </cols>
  <sheetData>
    <row r="1" customFormat="false" ht="34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</row>
    <row r="2" customFormat="false" ht="34.5" hidden="false" customHeight="true" outlineLevel="0" collapsed="false">
      <c r="A2" s="1"/>
      <c r="B2" s="1"/>
      <c r="C2" s="1"/>
      <c r="D2" s="1"/>
      <c r="E2" s="3" t="s">
        <v>0</v>
      </c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</row>
    <row r="3" customFormat="false" ht="34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</row>
    <row r="4" customFormat="false" ht="28.5" hidden="false" customHeight="true" outlineLevel="0" collapsed="false">
      <c r="A4" s="1"/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  <c r="G4" s="1"/>
      <c r="H4" s="4" t="s">
        <v>6</v>
      </c>
      <c r="I4" s="4" t="s">
        <v>7</v>
      </c>
      <c r="J4" s="4" t="s">
        <v>8</v>
      </c>
      <c r="K4" s="4" t="s">
        <v>9</v>
      </c>
      <c r="L4" s="5" t="s">
        <v>5</v>
      </c>
      <c r="M4" s="1"/>
      <c r="N4" s="1"/>
      <c r="O4" s="1"/>
      <c r="P4" s="1"/>
      <c r="Q4" s="1"/>
      <c r="R4" s="1"/>
      <c r="S4" s="1"/>
      <c r="T4" s="1"/>
      <c r="U4" s="2"/>
    </row>
    <row r="5" customFormat="false" ht="39.55" hidden="false" customHeight="true" outlineLevel="0" collapsed="false">
      <c r="A5" s="1"/>
      <c r="B5" s="6" t="s">
        <v>10</v>
      </c>
      <c r="C5" s="7" t="n">
        <v>10</v>
      </c>
      <c r="D5" s="8" t="n">
        <f aca="false">0.25*C5</f>
        <v>2.5</v>
      </c>
      <c r="E5" s="9" t="n">
        <v>30</v>
      </c>
      <c r="F5" s="10" t="n">
        <f aca="false">(C5+D5)*E5</f>
        <v>375</v>
      </c>
      <c r="G5" s="11"/>
      <c r="H5" s="6" t="s">
        <v>11</v>
      </c>
      <c r="I5" s="6" t="s">
        <v>12</v>
      </c>
      <c r="J5" s="9" t="n">
        <v>87</v>
      </c>
      <c r="K5" s="10" t="n">
        <f aca="false">J5*0.5</f>
        <v>43.5</v>
      </c>
      <c r="L5" s="10" t="n">
        <f aca="false">SUM(K5,K6,K7)</f>
        <v>85.5</v>
      </c>
      <c r="M5" s="11"/>
      <c r="N5" s="11"/>
      <c r="O5" s="11"/>
      <c r="P5" s="11"/>
      <c r="Q5" s="11"/>
      <c r="R5" s="11"/>
      <c r="S5" s="11"/>
      <c r="T5" s="11"/>
      <c r="U5" s="2"/>
    </row>
    <row r="6" customFormat="false" ht="28.5" hidden="false" customHeight="true" outlineLevel="0" collapsed="false">
      <c r="A6" s="1"/>
      <c r="B6" s="6" t="s">
        <v>13</v>
      </c>
      <c r="C6" s="7" t="n">
        <v>28</v>
      </c>
      <c r="D6" s="8" t="n">
        <f aca="false">0.25*C6</f>
        <v>7</v>
      </c>
      <c r="E6" s="9" t="n">
        <v>30</v>
      </c>
      <c r="F6" s="10" t="n">
        <f aca="false">(C6+D6)*E6</f>
        <v>1050</v>
      </c>
      <c r="G6" s="11"/>
      <c r="H6" s="6"/>
      <c r="I6" s="6" t="s">
        <v>12</v>
      </c>
      <c r="J6" s="9" t="n">
        <v>37</v>
      </c>
      <c r="K6" s="10" t="n">
        <f aca="false">J6*0.5</f>
        <v>18.5</v>
      </c>
      <c r="L6" s="10"/>
      <c r="M6" s="11"/>
      <c r="N6" s="11"/>
      <c r="O6" s="11"/>
      <c r="P6" s="11"/>
      <c r="Q6" s="11"/>
      <c r="R6" s="11"/>
      <c r="S6" s="11"/>
      <c r="T6" s="11"/>
      <c r="U6" s="2"/>
    </row>
    <row r="7" customFormat="false" ht="28.5" hidden="false" customHeight="true" outlineLevel="0" collapsed="false">
      <c r="A7" s="1"/>
      <c r="B7" s="1"/>
      <c r="C7" s="1"/>
      <c r="D7" s="1"/>
      <c r="E7" s="1"/>
      <c r="F7" s="1"/>
      <c r="G7" s="11"/>
      <c r="H7" s="6"/>
      <c r="I7" s="6" t="s">
        <v>12</v>
      </c>
      <c r="J7" s="9" t="n">
        <v>47</v>
      </c>
      <c r="K7" s="10" t="n">
        <f aca="false">J7*0.5</f>
        <v>23.5</v>
      </c>
      <c r="L7" s="10"/>
      <c r="M7" s="11"/>
      <c r="N7" s="11"/>
      <c r="O7" s="11"/>
      <c r="P7" s="11"/>
      <c r="Q7" s="11"/>
      <c r="R7" s="11"/>
      <c r="S7" s="11"/>
      <c r="T7" s="11"/>
      <c r="U7" s="2"/>
    </row>
    <row r="8" customFormat="false" ht="28.5" hidden="false" customHeight="true" outlineLevel="0" collapsed="false">
      <c r="A8" s="1"/>
      <c r="B8" s="1"/>
      <c r="C8" s="1"/>
      <c r="D8" s="1"/>
      <c r="E8" s="1"/>
      <c r="F8" s="1"/>
      <c r="G8" s="1"/>
      <c r="H8" s="6"/>
      <c r="I8" s="6" t="s">
        <v>14</v>
      </c>
      <c r="J8" s="9" t="n">
        <v>30</v>
      </c>
      <c r="K8" s="10" t="n">
        <f aca="false">1.2*J8</f>
        <v>36</v>
      </c>
      <c r="L8" s="10" t="n">
        <f aca="false">SUM(K8,K9,K10,K11)</f>
        <v>72</v>
      </c>
      <c r="M8" s="1"/>
      <c r="N8" s="1"/>
      <c r="O8" s="1"/>
      <c r="P8" s="1"/>
      <c r="Q8" s="1"/>
      <c r="R8" s="1"/>
      <c r="S8" s="1"/>
      <c r="T8" s="1"/>
      <c r="U8" s="2"/>
    </row>
    <row r="9" customFormat="false" ht="28.5" hidden="false" customHeight="true" outlineLevel="0" collapsed="false">
      <c r="A9" s="1"/>
      <c r="B9" s="1"/>
      <c r="C9" s="1"/>
      <c r="D9" s="1"/>
      <c r="E9" s="1"/>
      <c r="F9" s="1"/>
      <c r="G9" s="1"/>
      <c r="H9" s="6"/>
      <c r="I9" s="6" t="s">
        <v>14</v>
      </c>
      <c r="J9" s="9" t="n">
        <v>30</v>
      </c>
      <c r="K9" s="10" t="n">
        <f aca="false">1.2*J9</f>
        <v>36</v>
      </c>
      <c r="L9" s="10"/>
      <c r="M9" s="1"/>
      <c r="N9" s="1"/>
      <c r="O9" s="1"/>
      <c r="P9" s="1"/>
      <c r="Q9" s="1"/>
      <c r="R9" s="1"/>
      <c r="S9" s="1"/>
      <c r="T9" s="1"/>
      <c r="U9" s="2"/>
    </row>
    <row r="10" customFormat="false" ht="28.5" hidden="false" customHeight="true" outlineLevel="0" collapsed="false">
      <c r="A10" s="1"/>
      <c r="B10" s="1"/>
      <c r="C10" s="1"/>
      <c r="D10" s="1"/>
      <c r="E10" s="1"/>
      <c r="F10" s="1"/>
      <c r="G10" s="1"/>
      <c r="H10" s="6"/>
      <c r="I10" s="6" t="s">
        <v>14</v>
      </c>
      <c r="J10" s="9"/>
      <c r="K10" s="10" t="n">
        <f aca="false">1.2*J10</f>
        <v>0</v>
      </c>
      <c r="L10" s="10"/>
      <c r="M10" s="1"/>
      <c r="N10" s="1"/>
      <c r="O10" s="1"/>
      <c r="P10" s="1"/>
      <c r="Q10" s="1"/>
      <c r="R10" s="1"/>
      <c r="S10" s="1"/>
      <c r="T10" s="1"/>
      <c r="U10" s="2"/>
    </row>
    <row r="11" customFormat="false" ht="28.5" hidden="false" customHeight="true" outlineLevel="0" collapsed="false">
      <c r="A11" s="1"/>
      <c r="B11" s="1"/>
      <c r="C11" s="1"/>
      <c r="D11" s="1"/>
      <c r="E11" s="1"/>
      <c r="F11" s="1"/>
      <c r="G11" s="1"/>
      <c r="H11" s="6"/>
      <c r="I11" s="6" t="s">
        <v>14</v>
      </c>
      <c r="J11" s="9"/>
      <c r="K11" s="10" t="n">
        <f aca="false">1.2*J11</f>
        <v>0</v>
      </c>
      <c r="L11" s="10"/>
      <c r="M11" s="1"/>
      <c r="N11" s="1"/>
      <c r="O11" s="1"/>
      <c r="P11" s="1"/>
      <c r="Q11" s="1"/>
      <c r="R11" s="1"/>
      <c r="S11" s="1"/>
      <c r="T11" s="1"/>
      <c r="U11" s="2"/>
    </row>
    <row r="12" customFormat="false" ht="28.5" hidden="false" customHeight="true" outlineLevel="0" collapsed="false">
      <c r="A12" s="1"/>
      <c r="B12" s="1"/>
      <c r="C12" s="1"/>
      <c r="D12" s="1"/>
      <c r="E12" s="1"/>
      <c r="F12" s="1"/>
      <c r="G12" s="1"/>
      <c r="H12" s="6" t="s">
        <v>15</v>
      </c>
      <c r="I12" s="6" t="s">
        <v>12</v>
      </c>
      <c r="J12" s="9" t="n">
        <v>87</v>
      </c>
      <c r="K12" s="10" t="n">
        <f aca="false">J12*0.5</f>
        <v>43.5</v>
      </c>
      <c r="L12" s="10" t="n">
        <f aca="false">J12*0.5</f>
        <v>43.5</v>
      </c>
      <c r="M12" s="1"/>
      <c r="N12" s="1"/>
      <c r="O12" s="1"/>
      <c r="P12" s="1"/>
      <c r="Q12" s="1"/>
      <c r="R12" s="1"/>
      <c r="S12" s="1"/>
      <c r="T12" s="1"/>
      <c r="U12" s="2"/>
    </row>
    <row r="13" customFormat="false" ht="28.5" hidden="false" customHeight="true" outlineLevel="0" collapsed="false">
      <c r="A13" s="1"/>
      <c r="B13" s="1"/>
      <c r="C13" s="1"/>
      <c r="D13" s="1"/>
      <c r="E13" s="1"/>
      <c r="F13" s="1"/>
      <c r="G13" s="1"/>
      <c r="H13" s="6"/>
      <c r="I13" s="6" t="s">
        <v>14</v>
      </c>
      <c r="J13" s="9"/>
      <c r="K13" s="10" t="n">
        <f aca="false">1.2*J13</f>
        <v>0</v>
      </c>
      <c r="L13" s="10" t="n">
        <f aca="false">1.2*J13</f>
        <v>0</v>
      </c>
      <c r="M13" s="1"/>
      <c r="N13" s="1"/>
      <c r="O13" s="1"/>
      <c r="P13" s="1"/>
      <c r="Q13" s="1"/>
      <c r="R13" s="1"/>
      <c r="S13" s="1"/>
      <c r="T13" s="1"/>
      <c r="U13" s="2"/>
    </row>
    <row r="14" customFormat="false" ht="28.5" hidden="false" customHeight="true" outlineLevel="0" collapsed="false">
      <c r="A14" s="1"/>
      <c r="B14" s="1"/>
      <c r="C14" s="1"/>
      <c r="D14" s="1"/>
      <c r="E14" s="1"/>
      <c r="F14" s="1"/>
      <c r="G14" s="1"/>
      <c r="H14" s="6" t="s">
        <v>16</v>
      </c>
      <c r="I14" s="6" t="s">
        <v>17</v>
      </c>
      <c r="J14" s="9" t="n">
        <v>90</v>
      </c>
      <c r="K14" s="10" t="n">
        <f aca="false">J14*1.3</f>
        <v>117</v>
      </c>
      <c r="L14" s="10" t="n">
        <f aca="false">J14*1.3</f>
        <v>117</v>
      </c>
      <c r="M14" s="1"/>
      <c r="N14" s="1"/>
      <c r="O14" s="1"/>
      <c r="P14" s="1"/>
      <c r="Q14" s="1"/>
      <c r="R14" s="1"/>
      <c r="S14" s="1"/>
      <c r="T14" s="1"/>
      <c r="U14" s="2"/>
    </row>
    <row r="15" customFormat="false" ht="28.5" hidden="false" customHeight="true" outlineLevel="0" collapsed="false">
      <c r="A15" s="1"/>
      <c r="B15" s="1"/>
      <c r="C15" s="1"/>
      <c r="D15" s="1"/>
      <c r="E15" s="1"/>
      <c r="F15" s="1"/>
      <c r="G15" s="1"/>
      <c r="H15" s="6" t="s">
        <v>18</v>
      </c>
      <c r="I15" s="6" t="s">
        <v>17</v>
      </c>
      <c r="J15" s="9"/>
      <c r="K15" s="10" t="n">
        <f aca="false">J15*1.3</f>
        <v>0</v>
      </c>
      <c r="L15" s="10" t="n">
        <f aca="false">J15*1.3</f>
        <v>0</v>
      </c>
      <c r="M15" s="1"/>
      <c r="N15" s="1"/>
      <c r="O15" s="1"/>
      <c r="P15" s="1"/>
      <c r="Q15" s="1"/>
      <c r="R15" s="1"/>
      <c r="S15" s="1"/>
      <c r="T15" s="1"/>
      <c r="U15" s="2"/>
    </row>
    <row r="16" customFormat="false" ht="39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</row>
    <row r="17" customFormat="false" ht="39" hidden="false" customHeight="true" outlineLevel="0" collapsed="false">
      <c r="A17" s="1"/>
      <c r="B17" s="1"/>
      <c r="C17" s="1"/>
      <c r="D17" s="1"/>
      <c r="E17" s="1"/>
      <c r="F17" s="1"/>
      <c r="G17" s="1"/>
      <c r="H17" s="12"/>
      <c r="I17" s="12"/>
      <c r="J17" s="12"/>
      <c r="K17" s="13"/>
      <c r="L17" s="13"/>
      <c r="M17" s="1"/>
      <c r="N17" s="1"/>
      <c r="O17" s="1"/>
      <c r="P17" s="1"/>
      <c r="Q17" s="1"/>
      <c r="R17" s="1"/>
      <c r="S17" s="1"/>
      <c r="T17" s="1"/>
      <c r="U17" s="2"/>
    </row>
    <row r="18" customFormat="false" ht="60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4" t="s">
        <v>19</v>
      </c>
      <c r="O18" s="14"/>
      <c r="P18" s="14"/>
      <c r="Q18" s="14"/>
      <c r="R18" s="14"/>
      <c r="S18" s="14"/>
      <c r="T18" s="1"/>
      <c r="U18" s="2"/>
    </row>
    <row r="19" customFormat="false" ht="29.2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 t="s">
        <v>20</v>
      </c>
      <c r="O19" s="16"/>
      <c r="P19" s="16"/>
      <c r="Q19" s="16"/>
      <c r="R19" s="16"/>
      <c r="S19" s="16"/>
      <c r="T19" s="15"/>
      <c r="U19" s="2"/>
    </row>
    <row r="20" customFormat="false" ht="15.7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8"/>
      <c r="P20" s="18"/>
      <c r="Q20" s="18"/>
      <c r="R20" s="18"/>
      <c r="S20" s="18"/>
      <c r="T20" s="17"/>
      <c r="U20" s="2"/>
    </row>
    <row r="21" customFormat="false" ht="12.7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 t="s">
        <v>21</v>
      </c>
      <c r="O21" s="21" t="s">
        <v>22</v>
      </c>
      <c r="P21" s="21"/>
      <c r="Q21" s="19"/>
      <c r="R21" s="22" t="s">
        <v>23</v>
      </c>
      <c r="S21" s="22"/>
      <c r="T21" s="19"/>
      <c r="U21" s="2"/>
    </row>
    <row r="22" customFormat="false" ht="12.7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1" t="s">
        <v>24</v>
      </c>
      <c r="P22" s="21"/>
      <c r="Q22" s="25"/>
      <c r="R22" s="25"/>
      <c r="S22" s="25"/>
      <c r="T22" s="23"/>
      <c r="U22" s="2"/>
    </row>
    <row r="23" customFormat="false" ht="12.75" hidden="false" customHeight="true" outlineLevel="0" collapsed="false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4"/>
      <c r="O23" s="21" t="s">
        <v>25</v>
      </c>
      <c r="P23" s="21"/>
      <c r="Q23" s="25"/>
      <c r="R23" s="25"/>
      <c r="S23" s="25"/>
      <c r="T23" s="26"/>
      <c r="U23" s="2"/>
    </row>
    <row r="24" customFormat="false" ht="12.7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4"/>
      <c r="O24" s="21" t="s">
        <v>26</v>
      </c>
      <c r="P24" s="21"/>
      <c r="Q24" s="25"/>
      <c r="R24" s="25"/>
      <c r="S24" s="25"/>
      <c r="T24" s="25"/>
      <c r="U24" s="2"/>
    </row>
    <row r="25" customFormat="false" ht="18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24"/>
      <c r="O25" s="21" t="s">
        <v>27</v>
      </c>
      <c r="P25" s="21"/>
      <c r="Q25" s="27"/>
      <c r="R25" s="27"/>
      <c r="S25" s="27"/>
      <c r="T25" s="17"/>
      <c r="U25" s="2"/>
    </row>
    <row r="26" customFormat="false" ht="18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24"/>
      <c r="O26" s="28" t="s">
        <v>28</v>
      </c>
      <c r="P26" s="28"/>
      <c r="Q26" s="27"/>
      <c r="R26" s="27"/>
      <c r="S26" s="27"/>
      <c r="T26" s="17"/>
      <c r="U26" s="2"/>
    </row>
    <row r="27" customFormat="false" ht="18.7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8"/>
      <c r="P27" s="18"/>
      <c r="Q27" s="18"/>
      <c r="R27" s="18"/>
      <c r="S27" s="18"/>
      <c r="T27" s="17"/>
      <c r="U27" s="2"/>
    </row>
    <row r="28" customFormat="false" ht="19.5" hidden="false" customHeight="true" outlineLevel="0" collapsed="false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 t="s">
        <v>29</v>
      </c>
      <c r="O28" s="30"/>
      <c r="P28" s="30"/>
      <c r="Q28" s="30"/>
      <c r="R28" s="30"/>
      <c r="S28" s="31" t="s">
        <v>30</v>
      </c>
      <c r="T28" s="29"/>
      <c r="U28" s="2"/>
    </row>
    <row r="29" customFormat="false" ht="20.2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3" t="s">
        <v>31</v>
      </c>
      <c r="O29" s="33"/>
      <c r="P29" s="33"/>
      <c r="Q29" s="34"/>
      <c r="R29" s="35"/>
      <c r="S29" s="36" t="n">
        <f aca="false">F5+L5+L8+L14</f>
        <v>649.5</v>
      </c>
      <c r="T29" s="32"/>
      <c r="U29" s="2"/>
    </row>
    <row r="30" customFormat="false" ht="24.7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3" t="s">
        <v>13</v>
      </c>
      <c r="O30" s="33"/>
      <c r="P30" s="33"/>
      <c r="Q30" s="34"/>
      <c r="R30" s="35"/>
      <c r="S30" s="36" t="n">
        <f aca="false">F6+L12+L13</f>
        <v>1093.5</v>
      </c>
      <c r="T30" s="32"/>
      <c r="U30" s="2"/>
    </row>
    <row r="31" customFormat="false" ht="23.2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3"/>
      <c r="O31" s="33"/>
      <c r="P31" s="33"/>
      <c r="Q31" s="34"/>
      <c r="R31" s="35"/>
      <c r="S31" s="36"/>
      <c r="T31" s="32"/>
      <c r="U31" s="2"/>
    </row>
    <row r="32" customFormat="false" ht="19.5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8" t="s">
        <v>32</v>
      </c>
      <c r="O32" s="38"/>
      <c r="P32" s="38"/>
      <c r="Q32" s="39" t="s">
        <v>33</v>
      </c>
      <c r="R32" s="39"/>
      <c r="S32" s="40" t="n">
        <f aca="false">SUM(S29:S31)</f>
        <v>1743</v>
      </c>
      <c r="T32" s="37"/>
      <c r="U32" s="2"/>
    </row>
    <row r="33" customFormat="false" ht="36.75" hidden="false" customHeight="true" outlineLevel="0" collapsed="false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41"/>
      <c r="O33" s="41"/>
      <c r="P33" s="41"/>
      <c r="Q33" s="42" t="s">
        <v>34</v>
      </c>
      <c r="R33" s="42"/>
      <c r="S33" s="43" t="n">
        <f aca="false">S32*21%</f>
        <v>366.03</v>
      </c>
      <c r="T33" s="37"/>
      <c r="U33" s="2"/>
    </row>
    <row r="34" customFormat="false" ht="36.75" hidden="false" customHeight="true" outlineLevel="0" collapsed="false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1"/>
      <c r="O34" s="41"/>
      <c r="P34" s="41"/>
      <c r="Q34" s="31" t="s">
        <v>5</v>
      </c>
      <c r="R34" s="31"/>
      <c r="S34" s="45" t="n">
        <f aca="false">SUM(S32:S33)</f>
        <v>2109.03</v>
      </c>
      <c r="T34" s="44"/>
      <c r="U34" s="2"/>
    </row>
    <row r="35" customFormat="false" ht="36.75" hidden="false" customHeight="true" outlineLevel="0" collapsed="false">
      <c r="A35" s="1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1"/>
      <c r="O35" s="1"/>
      <c r="P35" s="1"/>
      <c r="Q35" s="1"/>
      <c r="R35" s="1"/>
      <c r="S35" s="1"/>
      <c r="T35" s="44"/>
      <c r="U35" s="2"/>
    </row>
    <row r="36" customFormat="false" ht="12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customFormat="false" ht="12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customFormat="false" ht="12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customFormat="false" ht="12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customFormat="false" ht="12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customFormat="false" ht="12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customFormat="false" ht="12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customFormat="false" ht="12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customFormat="false" ht="12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customFormat="false" ht="12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customFormat="false" ht="12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customFormat="false" ht="12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customFormat="false" ht="12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customFormat="false" ht="12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customFormat="false" ht="12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customFormat="false" ht="12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customFormat="false" ht="12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customFormat="false" ht="12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customFormat="false" ht="12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customFormat="false" ht="12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customFormat="false" ht="12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customFormat="false" ht="12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customFormat="false" ht="12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customFormat="false" ht="12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customFormat="false" ht="12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customFormat="false" ht="12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customFormat="false" ht="12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customFormat="false" ht="12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customFormat="false" ht="12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customFormat="false" ht="12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customFormat="false" ht="12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customFormat="false" ht="12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customFormat="false" ht="12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customFormat="false" ht="12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customFormat="false" ht="12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12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12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12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12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12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12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12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customFormat="fals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customFormat="false" ht="12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customFormat="false" ht="12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customFormat="false" ht="12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customFormat="false" ht="12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customFormat="false" ht="12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customFormat="false" ht="12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customFormat="false" ht="12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customFormat="false" ht="12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customFormat="false" ht="12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customFormat="false" ht="12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customFormat="false" ht="12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customFormat="false" ht="12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customFormat="false" ht="12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customFormat="false" ht="12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customFormat="false" ht="12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customFormat="false" ht="12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customFormat="false" ht="12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customFormat="false" ht="12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customFormat="false" ht="12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customFormat="false" ht="12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customFormat="false" ht="12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customFormat="false" ht="12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customFormat="false" ht="12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customFormat="false" ht="12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customFormat="false" ht="12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customFormat="false" ht="12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customFormat="false" ht="12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customFormat="false" ht="12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customFormat="false" ht="12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customFormat="false" ht="12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customFormat="false" ht="12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customFormat="false" ht="12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customFormat="false" ht="12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customFormat="false" ht="12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customFormat="false" ht="12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customFormat="false" ht="12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customFormat="false" ht="12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customFormat="false" ht="12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customFormat="false" ht="12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customFormat="false" ht="12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customFormat="false" ht="12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customFormat="false" ht="12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customFormat="false" ht="12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customFormat="false" ht="12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customFormat="false" ht="12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customFormat="false" ht="12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customFormat="false" ht="12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customFormat="false" ht="12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customFormat="false" ht="12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customFormat="false" ht="12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customFormat="false" ht="12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customFormat="false" ht="12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customFormat="false" ht="12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customFormat="false" ht="12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customFormat="false" ht="12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customFormat="false" ht="12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customFormat="false" ht="12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customFormat="false" ht="12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customFormat="false" ht="12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customFormat="false" ht="12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customFormat="false" ht="12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customFormat="false" ht="12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customFormat="false" ht="12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customFormat="false" ht="12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customFormat="false" ht="12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customFormat="false" ht="12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customFormat="false" ht="12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customFormat="false" ht="12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customFormat="false" ht="12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customFormat="false" ht="12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customFormat="false" ht="12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customFormat="false" ht="12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customFormat="false" ht="12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customFormat="false" ht="12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customFormat="false" ht="12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customFormat="false" ht="12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customFormat="false" ht="12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customFormat="false" ht="12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customFormat="false" ht="12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customFormat="false" ht="12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customFormat="false" ht="12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customFormat="false" ht="12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customFormat="false" ht="12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customFormat="false" ht="12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customFormat="false" ht="12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customFormat="false" ht="12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customFormat="false" ht="12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customFormat="false" ht="12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customFormat="false" ht="12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customFormat="false" ht="12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customFormat="false" ht="12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customFormat="false" ht="12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customFormat="false" ht="12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customFormat="false" ht="12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customFormat="false" ht="12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customFormat="false" ht="12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customFormat="false" ht="12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customFormat="false" ht="12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customFormat="false" ht="12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customFormat="false" ht="12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customFormat="false" ht="12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customFormat="false" ht="12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customFormat="false" ht="12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customFormat="false" ht="12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customFormat="false" ht="12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customFormat="false" ht="12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customFormat="false" ht="12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customFormat="false" ht="12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customFormat="false" ht="12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customFormat="false" ht="12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customFormat="false" ht="12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customFormat="false" ht="12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customFormat="false" ht="12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customFormat="false" ht="12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customFormat="false" ht="12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customFormat="false" ht="12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customFormat="false" ht="12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customFormat="false" ht="12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customFormat="false" ht="12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customFormat="false" ht="12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customFormat="false" ht="12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customFormat="false" ht="12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customFormat="false" ht="12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customFormat="false" ht="12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customFormat="false" ht="12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customFormat="false" ht="12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customFormat="false" ht="12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customFormat="false" ht="12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customFormat="false" ht="12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customFormat="false" ht="12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customFormat="false" ht="12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customFormat="false" ht="12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customFormat="false" ht="12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customFormat="false" ht="12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customFormat="false" ht="12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customFormat="false" ht="12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customFormat="false" ht="12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customFormat="false" ht="12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customFormat="false" ht="12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customFormat="false" ht="12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customFormat="false" ht="12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customFormat="false" ht="12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customFormat="false" ht="12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customFormat="false" ht="12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customFormat="false" ht="12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customFormat="false" ht="12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customFormat="false" ht="12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customFormat="false" ht="12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customFormat="false" ht="12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customFormat="false" ht="12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customFormat="false" ht="12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customFormat="false" ht="12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customFormat="false" ht="12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customFormat="false" ht="12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customFormat="false" ht="12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customFormat="false" ht="12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customFormat="false" ht="12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customFormat="false" ht="12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customFormat="false" ht="12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customFormat="false" ht="12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customFormat="false" ht="12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customFormat="false" ht="12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customFormat="false" ht="12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customFormat="false" ht="12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customFormat="false" ht="12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customFormat="false" ht="12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customFormat="false" ht="12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customFormat="false" ht="12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customFormat="false" ht="12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customFormat="false" ht="12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customFormat="false" ht="12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customFormat="false" ht="12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customFormat="false" ht="12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customFormat="false" ht="12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customFormat="false" ht="12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customFormat="false" ht="12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customFormat="false" ht="12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customFormat="false" ht="12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customFormat="false" ht="12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customFormat="false" ht="12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customFormat="false" ht="12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customFormat="false" ht="12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customFormat="false" ht="12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customFormat="false" ht="12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customFormat="false" ht="12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customFormat="false" ht="12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customFormat="false" ht="12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customFormat="false" ht="12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customFormat="false" ht="12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customFormat="false" ht="12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customFormat="false" ht="12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customFormat="false" ht="12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customFormat="false" ht="12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customFormat="false" ht="12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customFormat="false" ht="12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customFormat="false" ht="12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customFormat="false" ht="12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customFormat="false" ht="12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customFormat="false" ht="12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customFormat="false" ht="12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customFormat="false" ht="12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customFormat="false" ht="12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customFormat="false" ht="12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customFormat="false" ht="12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customFormat="false" ht="12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customFormat="false" ht="12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customFormat="false" ht="12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customFormat="false" ht="12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customFormat="false" ht="12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customFormat="false" ht="12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customFormat="false" ht="12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customFormat="false" ht="12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customFormat="false" ht="12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customFormat="false" ht="12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customFormat="false" ht="12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customFormat="false" ht="12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customFormat="false" ht="12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customFormat="false" ht="12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customFormat="false" ht="12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customFormat="false" ht="12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customFormat="false" ht="12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customFormat="false" ht="12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customFormat="false" ht="12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customFormat="false" ht="12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customFormat="false" ht="12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customFormat="false" ht="12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customFormat="false" ht="12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customFormat="false" ht="12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customFormat="false" ht="12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customFormat="false" ht="12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customFormat="false" ht="12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customFormat="false" ht="12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customFormat="false" ht="12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customFormat="false" ht="12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customFormat="false" ht="12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customFormat="false" ht="12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customFormat="false" ht="12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customFormat="false" ht="12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customFormat="false" ht="12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customFormat="false" ht="12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customFormat="false" ht="12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customFormat="false" ht="12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customFormat="false" ht="12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customFormat="false" ht="12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customFormat="false" ht="12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customFormat="false" ht="12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customFormat="false" ht="12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customFormat="false" ht="12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customFormat="false" ht="12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customFormat="false" ht="12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customFormat="false" ht="12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customFormat="false" ht="12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customFormat="false" ht="12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customFormat="false" ht="12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customFormat="false" ht="12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customFormat="false" ht="12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customFormat="false" ht="12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customFormat="false" ht="12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customFormat="false" ht="12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customFormat="false" ht="12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customFormat="false" ht="12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customFormat="false" ht="12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customFormat="false" ht="12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customFormat="false" ht="12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customFormat="false" ht="12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customFormat="false" ht="12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customFormat="false" ht="12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customFormat="false" ht="12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customFormat="false" ht="12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customFormat="false" ht="12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customFormat="false" ht="12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customFormat="false" ht="12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customFormat="false" ht="12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customFormat="false" ht="12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customFormat="false" ht="12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customFormat="false" ht="12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customFormat="false" ht="12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customFormat="false" ht="12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customFormat="false" ht="12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customFormat="false" ht="12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customFormat="false" ht="12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customFormat="false" ht="12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customFormat="false" ht="12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customFormat="false" ht="12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customFormat="false" ht="12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customFormat="false" ht="12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customFormat="false" ht="12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customFormat="false" ht="12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customFormat="false" ht="12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customFormat="false" ht="12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customFormat="false" ht="12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customFormat="false" ht="12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customFormat="false" ht="12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customFormat="false" ht="12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customFormat="false" ht="12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customFormat="false" ht="12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customFormat="false" ht="12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customFormat="false" ht="12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customFormat="false" ht="12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customFormat="false" ht="12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customFormat="false" ht="12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customFormat="false" ht="12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customFormat="false" ht="12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customFormat="false" ht="12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customFormat="false" ht="12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customFormat="false" ht="12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customFormat="false" ht="12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customFormat="false" ht="12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customFormat="false" ht="12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customFormat="false" ht="12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customFormat="false" ht="12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customFormat="false" ht="12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customFormat="false" ht="12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customFormat="false" ht="12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customFormat="false" ht="12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customFormat="false" ht="12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customFormat="false" ht="12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customFormat="false" ht="12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customFormat="false" ht="12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customFormat="false" ht="12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customFormat="false" ht="12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customFormat="false" ht="12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customFormat="false" ht="12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customFormat="false" ht="12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customFormat="false" ht="12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customFormat="false" ht="12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customFormat="false" ht="12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customFormat="false" ht="12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customFormat="false" ht="12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customFormat="false" ht="12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customFormat="false" ht="12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customFormat="false" ht="12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customFormat="false" ht="12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customFormat="false" ht="12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customFormat="false" ht="12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customFormat="false" ht="12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customFormat="false" ht="12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customFormat="false" ht="12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customFormat="false" ht="12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customFormat="false" ht="12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customFormat="false" ht="12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customFormat="false" ht="12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customFormat="false" ht="12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customFormat="false" ht="12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customFormat="false" ht="12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customFormat="false" ht="12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customFormat="false" ht="12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customFormat="false" ht="12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customFormat="false" ht="12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customFormat="false" ht="12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customFormat="false" ht="12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customFormat="false" ht="12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customFormat="false" ht="12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customFormat="false" ht="12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customFormat="false" ht="12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customFormat="false" ht="12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customFormat="false" ht="12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customFormat="false" ht="12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customFormat="false" ht="12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customFormat="false" ht="12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customFormat="false" ht="12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customFormat="false" ht="12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customFormat="false" ht="12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customFormat="false" ht="12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customFormat="false" ht="12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customFormat="false" ht="12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customFormat="false" ht="12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customFormat="false" ht="12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customFormat="false" ht="12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customFormat="false" ht="12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customFormat="false" ht="12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customFormat="false" ht="12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customFormat="false" ht="12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customFormat="false" ht="12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customFormat="false" ht="12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customFormat="false" ht="12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customFormat="false" ht="12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customFormat="false" ht="12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customFormat="false" ht="12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customFormat="false" ht="12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customFormat="false" ht="12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customFormat="false" ht="12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customFormat="false" ht="12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customFormat="false" ht="12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customFormat="false" ht="12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customFormat="false" ht="12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customFormat="false" ht="12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customFormat="false" ht="12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customFormat="false" ht="12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customFormat="false" ht="12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customFormat="false" ht="12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customFormat="false" ht="12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customFormat="false" ht="12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customFormat="false" ht="12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customFormat="false" ht="12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customFormat="false" ht="12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customFormat="false" ht="12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customFormat="false" ht="12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customFormat="false" ht="12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customFormat="false" ht="12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customFormat="false" ht="12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customFormat="false" ht="12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customFormat="false" ht="12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customFormat="false" ht="12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customFormat="false" ht="12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customFormat="false" ht="12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customFormat="false" ht="12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customFormat="false" ht="12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customFormat="false" ht="12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customFormat="false" ht="12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customFormat="false" ht="12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customFormat="false" ht="12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customFormat="false" ht="12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customFormat="false" ht="12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customFormat="false" ht="12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customFormat="false" ht="12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customFormat="false" ht="12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customFormat="false" ht="12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customFormat="false" ht="12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customFormat="false" ht="12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customFormat="false" ht="12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customFormat="false" ht="12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customFormat="false" ht="12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customFormat="false" ht="12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customFormat="false" ht="12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customFormat="false" ht="12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customFormat="false" ht="12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customFormat="false" ht="12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customFormat="false" ht="12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customFormat="false" ht="12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customFormat="false" ht="12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customFormat="false" ht="12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customFormat="false" ht="12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customFormat="false" ht="12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customFormat="false" ht="12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customFormat="false" ht="12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customFormat="false" ht="12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customFormat="false" ht="12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customFormat="false" ht="12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customFormat="false" ht="12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customFormat="false" ht="12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customFormat="false" ht="12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customFormat="false" ht="12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customFormat="false" ht="12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customFormat="false" ht="12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customFormat="false" ht="12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customFormat="false" ht="12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customFormat="false" ht="12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customFormat="false" ht="12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customFormat="false" ht="12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customFormat="false" ht="12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customFormat="false" ht="12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customFormat="false" ht="12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customFormat="false" ht="12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customFormat="false" ht="12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customFormat="false" ht="12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customFormat="false" ht="12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customFormat="false" ht="12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customFormat="false" ht="12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customFormat="false" ht="12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customFormat="false" ht="12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customFormat="false" ht="12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customFormat="false" ht="12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customFormat="false" ht="12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customFormat="false" ht="12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customFormat="false" ht="12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customFormat="false" ht="12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customFormat="false" ht="12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customFormat="false" ht="12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customFormat="false" ht="12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customFormat="false" ht="12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customFormat="false" ht="12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customFormat="false" ht="12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customFormat="false" ht="12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customFormat="false" ht="12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customFormat="false" ht="12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customFormat="false" ht="12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customFormat="false" ht="12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customFormat="false" ht="12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customFormat="false" ht="12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customFormat="false" ht="12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customFormat="false" ht="12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customFormat="false" ht="12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customFormat="false" ht="12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customFormat="false" ht="12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customFormat="false" ht="12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customFormat="false" ht="12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customFormat="false" ht="12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customFormat="false" ht="12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customFormat="false" ht="12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customFormat="false" ht="12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customFormat="false" ht="12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customFormat="false" ht="12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customFormat="false" ht="12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customFormat="false" ht="12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customFormat="false" ht="12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customFormat="false" ht="12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customFormat="false" ht="12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customFormat="false" ht="12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customFormat="false" ht="12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customFormat="false" ht="12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customFormat="false" ht="12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customFormat="false" ht="12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customFormat="false" ht="12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customFormat="false" ht="12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customFormat="false" ht="12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customFormat="false" ht="12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customFormat="false" ht="12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customFormat="false" ht="12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customFormat="false" ht="12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customFormat="false" ht="12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customFormat="false" ht="12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customFormat="false" ht="12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customFormat="false" ht="12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customFormat="false" ht="12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customFormat="false" ht="12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customFormat="false" ht="12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customFormat="false" ht="12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customFormat="false" ht="12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customFormat="false" ht="12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customFormat="false" ht="12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customFormat="false" ht="12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customFormat="false" ht="12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customFormat="false" ht="12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customFormat="false" ht="12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customFormat="false" ht="12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customFormat="false" ht="12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customFormat="false" ht="12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customFormat="false" ht="12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customFormat="false" ht="12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customFormat="false" ht="12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customFormat="false" ht="12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customFormat="false" ht="12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customFormat="false" ht="12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customFormat="false" ht="12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customFormat="false" ht="12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customFormat="false" ht="12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customFormat="false" ht="12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customFormat="false" ht="12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customFormat="false" ht="12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customFormat="false" ht="12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customFormat="false" ht="12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customFormat="false" ht="12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customFormat="false" ht="12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customFormat="false" ht="12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customFormat="false" ht="12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customFormat="false" ht="12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customFormat="false" ht="12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customFormat="false" ht="12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customFormat="false" ht="12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customFormat="false" ht="12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customFormat="false" ht="12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customFormat="false" ht="12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customFormat="false" ht="12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customFormat="false" ht="12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customFormat="false" ht="12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customFormat="false" ht="12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customFormat="false" ht="12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customFormat="false" ht="12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customFormat="false" ht="12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customFormat="false" ht="12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customFormat="false" ht="12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customFormat="false" ht="12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customFormat="false" ht="12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customFormat="false" ht="12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customFormat="false" ht="12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customFormat="false" ht="12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customFormat="false" ht="12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customFormat="false" ht="12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customFormat="false" ht="12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customFormat="false" ht="12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customFormat="false" ht="12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customFormat="false" ht="12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customFormat="false" ht="12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customFormat="false" ht="12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customFormat="false" ht="12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customFormat="false" ht="12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customFormat="false" ht="12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customFormat="false" ht="12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customFormat="false" ht="12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customFormat="false" ht="12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customFormat="false" ht="12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customFormat="false" ht="12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customFormat="false" ht="12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customFormat="false" ht="12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customFormat="false" ht="12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customFormat="false" ht="12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customFormat="false" ht="12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customFormat="false" ht="12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customFormat="false" ht="12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customFormat="false" ht="12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customFormat="false" ht="12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customFormat="false" ht="12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customFormat="false" ht="12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customFormat="false" ht="12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customFormat="false" ht="12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customFormat="false" ht="12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customFormat="false" ht="12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customFormat="false" ht="12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customFormat="false" ht="12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customFormat="false" ht="12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customFormat="false" ht="12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customFormat="false" ht="12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customFormat="false" ht="12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customFormat="false" ht="12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customFormat="false" ht="12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customFormat="false" ht="12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customFormat="false" ht="12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customFormat="false" ht="12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customFormat="false" ht="12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customFormat="false" ht="12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customFormat="false" ht="12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customFormat="false" ht="12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customFormat="false" ht="12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customFormat="false" ht="12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customFormat="false" ht="12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customFormat="false" ht="12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customFormat="false" ht="12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customFormat="false" ht="12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customFormat="false" ht="12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customFormat="false" ht="12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customFormat="false" ht="12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customFormat="false" ht="12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customFormat="false" ht="12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customFormat="false" ht="12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customFormat="false" ht="12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customFormat="false" ht="12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customFormat="false" ht="12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customFormat="false" ht="12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customFormat="false" ht="12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customFormat="false" ht="12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customFormat="false" ht="12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customFormat="false" ht="12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customFormat="false" ht="12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customFormat="false" ht="12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customFormat="false" ht="12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customFormat="false" ht="12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customFormat="false" ht="12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customFormat="false" ht="12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customFormat="false" ht="12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customFormat="false" ht="12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customFormat="false" ht="12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customFormat="false" ht="12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customFormat="false" ht="12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customFormat="false" ht="12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customFormat="false" ht="12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customFormat="false" ht="12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customFormat="false" ht="12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customFormat="false" ht="12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customFormat="false" ht="12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customFormat="false" ht="12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customFormat="false" ht="12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customFormat="false" ht="12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customFormat="false" ht="12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customFormat="false" ht="12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customFormat="false" ht="12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customFormat="false" ht="12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customFormat="false" ht="12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customFormat="false" ht="12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customFormat="false" ht="12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customFormat="false" ht="12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customFormat="false" ht="12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customFormat="false" ht="12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customFormat="false" ht="12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customFormat="false" ht="12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customFormat="false" ht="12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customFormat="false" ht="12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customFormat="false" ht="12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customFormat="false" ht="12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customFormat="false" ht="12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customFormat="false" ht="12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customFormat="false" ht="12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customFormat="false" ht="12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customFormat="false" ht="12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customFormat="false" ht="12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customFormat="false" ht="12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customFormat="false" ht="12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customFormat="false" ht="12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customFormat="false" ht="12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customFormat="false" ht="12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customFormat="false" ht="12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customFormat="false" ht="12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customFormat="false" ht="12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customFormat="false" ht="12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customFormat="false" ht="12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customFormat="false" ht="12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customFormat="false" ht="12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customFormat="false" ht="12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customFormat="false" ht="12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customFormat="false" ht="12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customFormat="false" ht="12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customFormat="false" ht="12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customFormat="false" ht="12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customFormat="false" ht="12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customFormat="false" ht="12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customFormat="false" ht="12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customFormat="false" ht="12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customFormat="false" ht="12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customFormat="false" ht="12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customFormat="false" ht="12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customFormat="false" ht="12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customFormat="false" ht="12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customFormat="false" ht="12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customFormat="false" ht="12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customFormat="false" ht="12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customFormat="false" ht="12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customFormat="false" ht="12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customFormat="false" ht="12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customFormat="false" ht="12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customFormat="false" ht="12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customFormat="false" ht="12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customFormat="false" ht="12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customFormat="false" ht="12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customFormat="false" ht="12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customFormat="false" ht="12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customFormat="false" ht="12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customFormat="false" ht="12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customFormat="false" ht="12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customFormat="false" ht="12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customFormat="false" ht="12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customFormat="false" ht="12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customFormat="false" ht="12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customFormat="false" ht="12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customFormat="false" ht="12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customFormat="false" ht="12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customFormat="false" ht="12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customFormat="false" ht="12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customFormat="false" ht="12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customFormat="false" ht="12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customFormat="false" ht="12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customFormat="false" ht="12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customFormat="false" ht="12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customFormat="false" ht="12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customFormat="false" ht="12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customFormat="false" ht="12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customFormat="false" ht="12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customFormat="false" ht="12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customFormat="false" ht="12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customFormat="false" ht="12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customFormat="false" ht="12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customFormat="false" ht="12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customFormat="false" ht="12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customFormat="false" ht="12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customFormat="false" ht="12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customFormat="false" ht="12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customFormat="false" ht="12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customFormat="false" ht="12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customFormat="false" ht="12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customFormat="false" ht="12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customFormat="false" ht="12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customFormat="false" ht="12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customFormat="false" ht="12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customFormat="false" ht="12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customFormat="false" ht="12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customFormat="false" ht="12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customFormat="false" ht="12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customFormat="false" ht="12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customFormat="false" ht="12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customFormat="false" ht="12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customFormat="false" ht="12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customFormat="false" ht="12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customFormat="false" ht="12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customFormat="false" ht="12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customFormat="false" ht="12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customFormat="false" ht="12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customFormat="false" ht="12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customFormat="false" ht="12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customFormat="false" ht="12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customFormat="false" ht="12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customFormat="false" ht="12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customFormat="false" ht="12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customFormat="false" ht="12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customFormat="false" ht="12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customFormat="false" ht="12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customFormat="false" ht="12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customFormat="false" ht="12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customFormat="false" ht="12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customFormat="false" ht="12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customFormat="false" ht="12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customFormat="false" ht="12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customFormat="false" ht="12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customFormat="false" ht="12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customFormat="false" ht="12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customFormat="false" ht="12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customFormat="false" ht="12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customFormat="false" ht="12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customFormat="false" ht="12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customFormat="false" ht="12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customFormat="false" ht="12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customFormat="false" ht="12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customFormat="false" ht="12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customFormat="false" ht="12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customFormat="false" ht="12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customFormat="false" ht="12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customFormat="false" ht="12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customFormat="false" ht="12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customFormat="false" ht="12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customFormat="false" ht="12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customFormat="false" ht="12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customFormat="false" ht="12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customFormat="false" ht="12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customFormat="false" ht="12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customFormat="false" ht="12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customFormat="false" ht="12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customFormat="false" ht="12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customFormat="false" ht="12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customFormat="false" ht="12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customFormat="false" ht="12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customFormat="false" ht="12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customFormat="false" ht="12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customFormat="false" ht="12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customFormat="false" ht="12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customFormat="false" ht="12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customFormat="false" ht="12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customFormat="false" ht="12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customFormat="false" ht="12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customFormat="false" ht="12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customFormat="false" ht="12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customFormat="false" ht="12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customFormat="false" ht="12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customFormat="false" ht="12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customFormat="false" ht="12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customFormat="false" ht="12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customFormat="false" ht="12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customFormat="false" ht="12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customFormat="false" ht="12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customFormat="false" ht="12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customFormat="false" ht="12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customFormat="false" ht="12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customFormat="false" ht="12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customFormat="false" ht="12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customFormat="false" ht="12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customFormat="false" ht="12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customFormat="false" ht="12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customFormat="false" ht="12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customFormat="false" ht="12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customFormat="false" ht="12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customFormat="false" ht="12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customFormat="false" ht="12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customFormat="false" ht="12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customFormat="false" ht="12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customFormat="false" ht="12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customFormat="false" ht="12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customFormat="false" ht="12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customFormat="false" ht="12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customFormat="false" ht="12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customFormat="false" ht="12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customFormat="false" ht="12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customFormat="false" ht="12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customFormat="false" ht="12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customFormat="false" ht="12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customFormat="false" ht="12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customFormat="false" ht="12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customFormat="false" ht="12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customFormat="false" ht="12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customFormat="false" ht="12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customFormat="false" ht="12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customFormat="false" ht="12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customFormat="false" ht="12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customFormat="false" ht="12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customFormat="false" ht="12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customFormat="false" ht="12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customFormat="false" ht="12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customFormat="false" ht="12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customFormat="false" ht="12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customFormat="false" ht="12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customFormat="false" ht="12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customFormat="false" ht="12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customFormat="false" ht="12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customFormat="false" ht="12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customFormat="false" ht="12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customFormat="false" ht="12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customFormat="false" ht="12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customFormat="false" ht="12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customFormat="false" ht="12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customFormat="false" ht="12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customFormat="false" ht="12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customFormat="false" ht="12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customFormat="false" ht="12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customFormat="false" ht="12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customFormat="false" ht="12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customFormat="false" ht="12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customFormat="false" ht="12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customFormat="false" ht="12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customFormat="false" ht="12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customFormat="false" ht="12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customFormat="false" ht="12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customFormat="false" ht="12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customFormat="false" ht="12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customFormat="false" ht="12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customFormat="false" ht="12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customFormat="false" ht="12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customFormat="false" ht="12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customFormat="false" ht="12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customFormat="false" ht="12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customFormat="false" ht="12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customFormat="false" ht="12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customFormat="false" ht="12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customFormat="false" ht="12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customFormat="false" ht="12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customFormat="false" ht="12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customFormat="false" ht="12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customFormat="false" ht="12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customFormat="false" ht="12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customFormat="false" ht="12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customFormat="false" ht="12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customFormat="false" ht="12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customFormat="false" ht="12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customFormat="false" ht="12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customFormat="false" ht="12.7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</sheetData>
  <mergeCells count="27">
    <mergeCell ref="E2:I2"/>
    <mergeCell ref="H5:H11"/>
    <mergeCell ref="L5:L7"/>
    <mergeCell ref="L8:L11"/>
    <mergeCell ref="H12:H13"/>
    <mergeCell ref="N18:S18"/>
    <mergeCell ref="N19:S19"/>
    <mergeCell ref="N20:S20"/>
    <mergeCell ref="O21:P21"/>
    <mergeCell ref="R21:S21"/>
    <mergeCell ref="O22:P22"/>
    <mergeCell ref="Q22:S22"/>
    <mergeCell ref="O23:P23"/>
    <mergeCell ref="Q23:S23"/>
    <mergeCell ref="O24:P24"/>
    <mergeCell ref="Q24:S24"/>
    <mergeCell ref="O25:P25"/>
    <mergeCell ref="N27:S27"/>
    <mergeCell ref="N28:P28"/>
    <mergeCell ref="N29:P29"/>
    <mergeCell ref="N30:P30"/>
    <mergeCell ref="N31:P31"/>
    <mergeCell ref="N32:P32"/>
    <mergeCell ref="Q32:R32"/>
    <mergeCell ref="N33:P34"/>
    <mergeCell ref="Q33:R33"/>
    <mergeCell ref="Q34:R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2025-10-20T12:50:39Z</dcterms:modified>
  <cp:revision>1</cp:revision>
  <dc:subject/>
  <dc:title/>
</cp:coreProperties>
</file>